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rv/dev/sci/3D/charm_3d/samples/periodic/"/>
    </mc:Choice>
  </mc:AlternateContent>
  <xr:revisionPtr revIDLastSave="0" documentId="8_{E0786069-3B9D-844D-B796-6F87992D3EF1}" xr6:coauthVersionLast="47" xr6:coauthVersionMax="47" xr10:uidLastSave="{00000000-0000-0000-0000-000000000000}"/>
  <bookViews>
    <workbookView xWindow="3140" yWindow="3700" windowWidth="28240" windowHeight="17240" activeTab="1" xr2:uid="{ED660341-3A3B-0342-B7C2-B08EB6C54AD2}"/>
  </bookViews>
  <sheets>
    <sheet name="Азот" sheetId="1" r:id="rId1"/>
    <sheet name="Безразмерн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16" i="2"/>
  <c r="B15" i="2"/>
  <c r="G9" i="2"/>
  <c r="B4" i="2"/>
  <c r="B19" i="1"/>
  <c r="B16" i="1"/>
  <c r="B15" i="1"/>
  <c r="G9" i="1"/>
  <c r="B5" i="1"/>
  <c r="B6" i="1" s="1"/>
  <c r="B7" i="1" s="1"/>
  <c r="B8" i="1" s="1"/>
  <c r="B10" i="1" s="1"/>
  <c r="B17" i="1" s="1"/>
  <c r="D4" i="1"/>
  <c r="D3" i="1"/>
  <c r="B4" i="1"/>
  <c r="B19" i="2" l="1"/>
  <c r="B5" i="2"/>
  <c r="D3" i="2"/>
  <c r="D4" i="2" s="1"/>
  <c r="B6" i="2" l="1"/>
  <c r="B7" i="2"/>
  <c r="B8" i="2" s="1"/>
  <c r="B10" i="2" s="1"/>
  <c r="B17" i="2" s="1"/>
</calcChain>
</file>

<file path=xl/sharedStrings.xml><?xml version="1.0" encoding="utf-8"?>
<sst xmlns="http://schemas.openxmlformats.org/spreadsheetml/2006/main" count="34" uniqueCount="17">
  <si>
    <t>Азот</t>
  </si>
  <si>
    <t>R</t>
  </si>
  <si>
    <t>Cp</t>
  </si>
  <si>
    <t>M</t>
  </si>
  <si>
    <t>Cv</t>
  </si>
  <si>
    <t xml:space="preserve">gam </t>
  </si>
  <si>
    <t>cz</t>
  </si>
  <si>
    <t>T</t>
  </si>
  <si>
    <t>Ma</t>
  </si>
  <si>
    <t>U0</t>
  </si>
  <si>
    <t>L0</t>
  </si>
  <si>
    <t>nu_din</t>
  </si>
  <si>
    <t>rho</t>
  </si>
  <si>
    <t>nu_kin</t>
  </si>
  <si>
    <t>L</t>
  </si>
  <si>
    <t>Re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</si>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</sst>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C848B-01A3-8646-911B-D2DB5BAD655E}">
  <dimension ref="A1:G19"/>
  <sheetViews>
    <sheetView zoomScale="130" zoomScaleNormal="130" workbookViewId="0">
      <selection sqref="A1:XFD1048576"/>
    </sheetView>
  </sheetViews>
  <sheetFormatPr baseColWidth="10" defaultRowHeight="16" x14ac:dyDescent="0.2"/>
  <cols>
    <col min="2" max="2" width="25.5" customWidth="1"/>
  </cols>
  <sheetData>
    <row r="1" spans="1:7" x14ac:dyDescent="0.2">
      <c r="A1" t="s">
        <v>0</v>
      </c>
    </row>
    <row r="2" spans="1:7" x14ac:dyDescent="0.2">
      <c r="A2" t="s">
        <v>7</v>
      </c>
      <c r="B2">
        <v>293</v>
      </c>
    </row>
    <row r="3" spans="1:7" x14ac:dyDescent="0.2">
      <c r="A3" t="s">
        <v>1</v>
      </c>
      <c r="B3">
        <v>8.3144626181532395</v>
      </c>
      <c r="D3">
        <f>B3/B4</f>
        <v>296.80305204485137</v>
      </c>
    </row>
    <row r="4" spans="1:7" x14ac:dyDescent="0.2">
      <c r="A4" t="s">
        <v>3</v>
      </c>
      <c r="B4">
        <f>2*0.0140067</f>
        <v>2.8013400000000001E-2</v>
      </c>
      <c r="D4">
        <f>7*D3/2</f>
        <v>1038.8106821569797</v>
      </c>
    </row>
    <row r="5" spans="1:7" x14ac:dyDescent="0.2">
      <c r="A5" t="s">
        <v>2</v>
      </c>
      <c r="B5">
        <f>7*B3/B4/2</f>
        <v>1038.8106821569797</v>
      </c>
      <c r="G5" s="1">
        <v>1.6699999999999999E-5</v>
      </c>
    </row>
    <row r="6" spans="1:7" x14ac:dyDescent="0.2">
      <c r="A6" t="s">
        <v>4</v>
      </c>
      <c r="B6">
        <f>B5-B3/B4</f>
        <v>742.00763011212837</v>
      </c>
      <c r="G6" s="1">
        <v>1.3920000000000001E-5</v>
      </c>
    </row>
    <row r="7" spans="1:7" x14ac:dyDescent="0.2">
      <c r="A7" t="s">
        <v>5</v>
      </c>
      <c r="B7">
        <f>B5/B6</f>
        <v>1.4000000000000001</v>
      </c>
    </row>
    <row r="8" spans="1:7" x14ac:dyDescent="0.2">
      <c r="A8" t="s">
        <v>6</v>
      </c>
      <c r="B8">
        <f>SQRT(B7*B3/B4*B2)</f>
        <v>348.92493741318924</v>
      </c>
    </row>
    <row r="9" spans="1:7" x14ac:dyDescent="0.2">
      <c r="A9" t="s">
        <v>8</v>
      </c>
      <c r="B9">
        <v>0.1</v>
      </c>
      <c r="G9" s="1">
        <f>G5/G6</f>
        <v>1.1997126436781609</v>
      </c>
    </row>
    <row r="10" spans="1:7" x14ac:dyDescent="0.2">
      <c r="A10" t="s">
        <v>9</v>
      </c>
      <c r="B10">
        <f>B9*B8</f>
        <v>34.892493741318923</v>
      </c>
    </row>
    <row r="12" spans="1:7" x14ac:dyDescent="0.2">
      <c r="A12" t="s">
        <v>10</v>
      </c>
      <c r="B12">
        <v>3.2000000000000001E-2</v>
      </c>
    </row>
    <row r="13" spans="1:7" x14ac:dyDescent="0.2">
      <c r="A13" t="s">
        <v>12</v>
      </c>
      <c r="B13">
        <v>1.2</v>
      </c>
    </row>
    <row r="14" spans="1:7" x14ac:dyDescent="0.2">
      <c r="A14" t="s">
        <v>11</v>
      </c>
      <c r="B14" s="1">
        <v>1.6699999999999999E-4</v>
      </c>
    </row>
    <row r="15" spans="1:7" x14ac:dyDescent="0.2">
      <c r="A15" t="s">
        <v>13</v>
      </c>
      <c r="B15" s="1">
        <f>B14/B13</f>
        <v>1.3916666666666667E-4</v>
      </c>
    </row>
    <row r="16" spans="1:7" x14ac:dyDescent="0.2">
      <c r="A16" t="s">
        <v>14</v>
      </c>
      <c r="B16">
        <f>B12/(2*PI())</f>
        <v>5.0929581789406512E-3</v>
      </c>
    </row>
    <row r="17" spans="1:2" x14ac:dyDescent="0.2">
      <c r="A17" t="s">
        <v>15</v>
      </c>
      <c r="B17" s="1">
        <f>B13*B10*B16/B14</f>
        <v>1276.9294231148672</v>
      </c>
    </row>
    <row r="19" spans="1:2" x14ac:dyDescent="0.2">
      <c r="A19" t="s">
        <v>16</v>
      </c>
      <c r="B19">
        <f>B13*B2*B3/B4</f>
        <v>104355.95309896974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EF21C-A2D9-A74D-B2A9-D1B3F2025952}">
  <dimension ref="A1:G19"/>
  <sheetViews>
    <sheetView tabSelected="1" zoomScale="140" zoomScaleNormal="140" workbookViewId="0">
      <selection activeCell="B17" sqref="B17"/>
    </sheetView>
  </sheetViews>
  <sheetFormatPr baseColWidth="10" defaultRowHeight="16" x14ac:dyDescent="0.2"/>
  <cols>
    <col min="2" max="2" width="25.5" customWidth="1"/>
  </cols>
  <sheetData>
    <row r="1" spans="1:7" x14ac:dyDescent="0.2">
      <c r="A1" t="s">
        <v>0</v>
      </c>
    </row>
    <row r="2" spans="1:7" x14ac:dyDescent="0.2">
      <c r="A2" t="s">
        <v>7</v>
      </c>
      <c r="B2">
        <f>B4/B3</f>
        <v>3.3692375907539021E-3</v>
      </c>
    </row>
    <row r="3" spans="1:7" x14ac:dyDescent="0.2">
      <c r="A3" t="s">
        <v>1</v>
      </c>
      <c r="B3">
        <v>8.3144626181532395</v>
      </c>
      <c r="D3">
        <f>B3/B4</f>
        <v>296.80305204485137</v>
      </c>
    </row>
    <row r="4" spans="1:7" x14ac:dyDescent="0.2">
      <c r="A4" t="s">
        <v>3</v>
      </c>
      <c r="B4">
        <f>2*0.0140067</f>
        <v>2.8013400000000001E-2</v>
      </c>
      <c r="D4">
        <f>7*D3/2</f>
        <v>1038.8106821569797</v>
      </c>
    </row>
    <row r="5" spans="1:7" x14ac:dyDescent="0.2">
      <c r="A5" t="s">
        <v>2</v>
      </c>
      <c r="B5">
        <f>7*B3/B4/2</f>
        <v>1038.8106821569797</v>
      </c>
      <c r="G5" s="1">
        <v>1.6699999999999999E-5</v>
      </c>
    </row>
    <row r="6" spans="1:7" x14ac:dyDescent="0.2">
      <c r="A6" t="s">
        <v>4</v>
      </c>
      <c r="B6">
        <f>B5-B3/B4</f>
        <v>742.00763011212837</v>
      </c>
      <c r="G6" s="1">
        <v>1.3920000000000001E-5</v>
      </c>
    </row>
    <row r="7" spans="1:7" x14ac:dyDescent="0.2">
      <c r="A7" t="s">
        <v>5</v>
      </c>
      <c r="B7">
        <f>B5/B6</f>
        <v>1.4000000000000001</v>
      </c>
    </row>
    <row r="8" spans="1:7" x14ac:dyDescent="0.2">
      <c r="A8" t="s">
        <v>6</v>
      </c>
      <c r="B8">
        <f>SQRT(B7*B3/B4*B2)</f>
        <v>1.1832159566199234</v>
      </c>
    </row>
    <row r="9" spans="1:7" x14ac:dyDescent="0.2">
      <c r="A9" t="s">
        <v>8</v>
      </c>
      <c r="B9">
        <v>0.1</v>
      </c>
      <c r="G9" s="1">
        <f>G5/G6</f>
        <v>1.1997126436781609</v>
      </c>
    </row>
    <row r="10" spans="1:7" x14ac:dyDescent="0.2">
      <c r="A10" t="s">
        <v>9</v>
      </c>
      <c r="B10">
        <f>B9*B8</f>
        <v>0.11832159566199235</v>
      </c>
    </row>
    <row r="12" spans="1:7" x14ac:dyDescent="0.2">
      <c r="A12" t="s">
        <v>10</v>
      </c>
      <c r="B12">
        <v>3.2000000000000001E-2</v>
      </c>
    </row>
    <row r="13" spans="1:7" x14ac:dyDescent="0.2">
      <c r="A13" t="s">
        <v>12</v>
      </c>
      <c r="B13">
        <v>1</v>
      </c>
    </row>
    <row r="14" spans="1:7" x14ac:dyDescent="0.2">
      <c r="A14" t="s">
        <v>11</v>
      </c>
      <c r="B14" s="1">
        <v>1.6699999999999999E-4</v>
      </c>
    </row>
    <row r="15" spans="1:7" x14ac:dyDescent="0.2">
      <c r="A15" t="s">
        <v>13</v>
      </c>
      <c r="B15" s="1">
        <f>B14/B13</f>
        <v>1.6699999999999999E-4</v>
      </c>
    </row>
    <row r="16" spans="1:7" x14ac:dyDescent="0.2">
      <c r="A16" t="s">
        <v>14</v>
      </c>
      <c r="B16">
        <f>B12/(2*PI())</f>
        <v>5.0929581789406512E-3</v>
      </c>
    </row>
    <row r="17" spans="1:2" x14ac:dyDescent="0.2">
      <c r="A17" t="s">
        <v>15</v>
      </c>
      <c r="B17" s="1">
        <f>B13*B10*B16/B14</f>
        <v>3.6084247806709735</v>
      </c>
    </row>
    <row r="19" spans="1:2" x14ac:dyDescent="0.2">
      <c r="A19" t="s">
        <v>16</v>
      </c>
      <c r="B19">
        <f>B13*B2*B3/B4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Азот</vt:lpstr>
      <vt:lpstr>Безразмерн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2026-02-03T10:16:19Z</dcterms:created>
  <dcterms:modified xsi:type="dcterms:W3CDTF">2026-02-23T21:55:25Z</dcterms:modified>
</cp:coreProperties>
</file>